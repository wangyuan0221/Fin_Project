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wangyuan/Desktop/Jobfile/Fintech/"/>
    </mc:Choice>
  </mc:AlternateContent>
  <xr:revisionPtr revIDLastSave="0" documentId="8_{6C87AFF8-3BC1-7A4F-A0B2-C1E4DAB12AC1}" xr6:coauthVersionLast="47" xr6:coauthVersionMax="47" xr10:uidLastSave="{00000000-0000-0000-0000-000000000000}"/>
  <bookViews>
    <workbookView xWindow="-31420" yWindow="6320" windowWidth="30240" windowHeight="17400" xr2:uid="{00000000-000D-0000-FFFF-FFFF00000000}"/>
  </bookViews>
  <sheets>
    <sheet name="アセット・アロケーション" sheetId="11" r:id="rId1"/>
  </sheets>
  <definedNames>
    <definedName name="solver_adj" localSheetId="0" hidden="1">アセット・アロケーション!$C$21:$K$21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アセット・アロケーション!$C$21:$J$21</definedName>
    <definedName name="solver_lhs2" localSheetId="0" hidden="1">アセット・アロケーション!$L$21</definedName>
    <definedName name="solver_lhs3" localSheetId="0" hidden="1">アセット・アロケーション!$C$26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opt" localSheetId="0" hidden="1">アセット・アロケーション!$C$24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2</definedName>
    <definedName name="solver_rel3" localSheetId="0" hidden="1">3</definedName>
    <definedName name="solver_rhs1" localSheetId="0" hidden="1">0</definedName>
    <definedName name="solver_rhs2" localSheetId="0" hidden="1">1</definedName>
    <definedName name="solver_rhs3" localSheetId="0" hidden="1">アセット・アロケーション!$C$27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11" l="1"/>
  <c r="L21" i="11"/>
  <c r="C26" i="11" l="1"/>
  <c r="C24" i="11" a="1"/>
  <c r="C24" i="1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<sst xmlns="http://schemas.openxmlformats.org/spreadsheetml/2006/main" count="52" uniqueCount="23">
  <si>
    <t>国内REIT</t>
  </si>
  <si>
    <t>国内債券</t>
  </si>
  <si>
    <t>先進国債券</t>
  </si>
  <si>
    <t>ハイイールド債券</t>
  </si>
  <si>
    <t>先進国株式</t>
  </si>
  <si>
    <t>先進国REIT</t>
  </si>
  <si>
    <t>新興国債券</t>
  </si>
  <si>
    <t>新興国株式</t>
  </si>
  <si>
    <t>国内株式</t>
  </si>
  <si>
    <t>リスク</t>
    <phoneticPr fontId="2"/>
  </si>
  <si>
    <t>円換算あり</t>
    <rPh sb="0" eb="1">
      <t>エンカンザn</t>
    </rPh>
    <rPh sb="1" eb="3">
      <t>カンザn</t>
    </rPh>
    <phoneticPr fontId="2"/>
  </si>
  <si>
    <t>資産構成比率</t>
    <rPh sb="0" eb="2">
      <t>シサン</t>
    </rPh>
    <rPh sb="2" eb="4">
      <t>コウセイ</t>
    </rPh>
    <rPh sb="4" eb="6">
      <t>ヒリツ</t>
    </rPh>
    <phoneticPr fontId="2"/>
  </si>
  <si>
    <t>制約条件②（=1）</t>
    <rPh sb="0" eb="4">
      <t>セイヤクジョウケン</t>
    </rPh>
    <phoneticPr fontId="2"/>
  </si>
  <si>
    <t>分散</t>
  </si>
  <si>
    <t>共分散</t>
    <rPh sb="0" eb="3">
      <t>キョウ</t>
    </rPh>
    <phoneticPr fontId="2"/>
  </si>
  <si>
    <t>&lt;ー　標準偏差（＝√分散）</t>
    <rPh sb="3" eb="5">
      <t>ヒョウジュン</t>
    </rPh>
    <rPh sb="5" eb="7">
      <t>ヘンサ</t>
    </rPh>
    <rPh sb="10" eb="12">
      <t>ブンサンサイショウカモクテキ</t>
    </rPh>
    <phoneticPr fontId="2"/>
  </si>
  <si>
    <r>
      <t>&lt;ー 上の相関係数、標準偏差、資産構成比率から計算した分散の</t>
    </r>
    <r>
      <rPr>
        <b/>
        <sz val="12"/>
        <color theme="4"/>
        <rFont val="游ゴシック"/>
        <family val="3"/>
        <charset val="128"/>
      </rPr>
      <t>最小化</t>
    </r>
    <r>
      <rPr>
        <sz val="12"/>
        <color theme="1"/>
        <rFont val="等线"/>
        <family val="2"/>
        <charset val="128"/>
        <scheme val="minor"/>
      </rPr>
      <t>（</t>
    </r>
    <r>
      <rPr>
        <b/>
        <sz val="12"/>
        <color rgb="FFFF0000"/>
        <rFont val="游ゴシック"/>
        <family val="3"/>
        <charset val="128"/>
      </rPr>
      <t>目的セル</t>
    </r>
    <r>
      <rPr>
        <sz val="12"/>
        <color theme="1"/>
        <rFont val="等线"/>
        <family val="2"/>
        <charset val="128"/>
        <scheme val="minor"/>
      </rPr>
      <t>）</t>
    </r>
    <rPh sb="3" eb="4">
      <t>ウエ</t>
    </rPh>
    <rPh sb="5" eb="7">
      <t>ソウカン</t>
    </rPh>
    <rPh sb="7" eb="9">
      <t>ケイスウ</t>
    </rPh>
    <rPh sb="10" eb="14">
      <t>ヒョウジュンヘンサ</t>
    </rPh>
    <rPh sb="15" eb="21">
      <t>シサンコウセイヒリツ</t>
    </rPh>
    <rPh sb="23" eb="25">
      <t>ケイサン</t>
    </rPh>
    <rPh sb="27" eb="29">
      <t>ブンサン</t>
    </rPh>
    <phoneticPr fontId="2"/>
  </si>
  <si>
    <t>要求収益率</t>
    <rPh sb="0" eb="5">
      <t>ヨウキュウ</t>
    </rPh>
    <phoneticPr fontId="2"/>
  </si>
  <si>
    <t>期待収益率</t>
    <rPh sb="2" eb="4">
      <t xml:space="preserve">シュウエキリ </t>
    </rPh>
    <rPh sb="4" eb="5">
      <t>リテゥ</t>
    </rPh>
    <phoneticPr fontId="2"/>
  </si>
  <si>
    <t>期待収益率</t>
    <rPh sb="0" eb="2">
      <t>キタイ</t>
    </rPh>
    <rPh sb="2" eb="5">
      <t>シュウエキ</t>
    </rPh>
    <phoneticPr fontId="2"/>
  </si>
  <si>
    <r>
      <t>&lt;ー</t>
    </r>
    <r>
      <rPr>
        <b/>
        <sz val="12"/>
        <color rgb="FFFF0000"/>
        <rFont val="游ゴシック"/>
        <family val="3"/>
        <charset val="128"/>
      </rPr>
      <t>　制約条件③（期待収益率＞要求収益率）</t>
    </r>
    <rPh sb="3" eb="7">
      <t>セイヤクジョウケン</t>
    </rPh>
    <rPh sb="9" eb="11">
      <t>キタイ</t>
    </rPh>
    <rPh sb="11" eb="14">
      <t>シュウエキ</t>
    </rPh>
    <rPh sb="15" eb="20">
      <t>ヨウキュウ</t>
    </rPh>
    <phoneticPr fontId="2"/>
  </si>
  <si>
    <t>&lt;ー　期待収益率（＝∑個別資産期待収益率×資産構成比率）</t>
    <rPh sb="3" eb="5">
      <t>キタイ</t>
    </rPh>
    <rPh sb="5" eb="8">
      <t>シュウエキ</t>
    </rPh>
    <rPh sb="11" eb="13">
      <t>コベツ</t>
    </rPh>
    <rPh sb="13" eb="15">
      <t>シサン</t>
    </rPh>
    <rPh sb="15" eb="17">
      <t>キタイ</t>
    </rPh>
    <rPh sb="17" eb="20">
      <t>シュウエキ</t>
    </rPh>
    <rPh sb="21" eb="23">
      <t>シサン</t>
    </rPh>
    <rPh sb="23" eb="27">
      <t>コウセイヒリツ</t>
    </rPh>
    <phoneticPr fontId="2"/>
  </si>
  <si>
    <t>期待収益率</t>
    <rPh sb="0" eb="2">
      <t>キタイ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</si>
</sst>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9">
    <font>
      <sz val="12"/>
      <color theme="1"/>
      <name val="等线"/>
      <family val="2"/>
      <charset val="128"/>
      <scheme val="minor"/>
    </font>
    <font>
      <sz val="12"/>
      <color theme="1"/>
      <name val="等线"/>
      <family val="2"/>
      <charset val="128"/>
      <scheme val="minor"/>
    </font>
    <font>
      <sz val="6"/>
      <name val="等线"/>
      <family val="2"/>
      <charset val="128"/>
      <scheme val="minor"/>
    </font>
    <font>
      <sz val="12"/>
      <color rgb="FFFF0000"/>
      <name val="等线"/>
      <family val="2"/>
      <charset val="128"/>
      <scheme val="minor"/>
    </font>
    <font>
      <sz val="11"/>
      <color theme="1"/>
      <name val="等线"/>
      <family val="2"/>
      <charset val="128"/>
      <scheme val="minor"/>
    </font>
    <font>
      <sz val="10"/>
      <name val="Arial"/>
      <family val="2"/>
    </font>
    <font>
      <b/>
      <sz val="12"/>
      <color rgb="FFFF0000"/>
      <name val="等线"/>
      <family val="3"/>
      <charset val="128"/>
      <scheme val="minor"/>
    </font>
    <font>
      <b/>
      <sz val="12"/>
      <color rgb="FFFF0000"/>
      <name val="游ゴシック"/>
      <family val="3"/>
      <charset val="128"/>
    </font>
    <font>
      <b/>
      <sz val="12"/>
      <color theme="4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rgb="FF0000FF"/>
      </left>
      <right style="thin">
        <color auto="1"/>
      </right>
      <top style="thick">
        <color rgb="FF0000FF"/>
      </top>
      <bottom style="thin">
        <color auto="1"/>
      </bottom>
      <diagonal/>
    </border>
    <border>
      <left style="thin">
        <color auto="1"/>
      </left>
      <right style="thick">
        <color rgb="FF0000FF"/>
      </right>
      <top style="thick">
        <color rgb="FF0000FF"/>
      </top>
      <bottom style="thin">
        <color auto="1"/>
      </bottom>
      <diagonal/>
    </border>
    <border>
      <left style="thick">
        <color rgb="FF0000FF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rgb="FF0000FF"/>
      </right>
      <top style="thin">
        <color auto="1"/>
      </top>
      <bottom style="thin">
        <color auto="1"/>
      </bottom>
      <diagonal/>
    </border>
    <border>
      <left style="thick">
        <color rgb="FF0000FF"/>
      </left>
      <right style="thin">
        <color auto="1"/>
      </right>
      <top style="thin">
        <color auto="1"/>
      </top>
      <bottom style="thick">
        <color rgb="FF0000FF"/>
      </bottom>
      <diagonal/>
    </border>
    <border>
      <left style="thin">
        <color auto="1"/>
      </left>
      <right style="thick">
        <color rgb="FF0000FF"/>
      </right>
      <top style="thin">
        <color auto="1"/>
      </top>
      <bottom style="thick">
        <color rgb="FF0000FF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5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2" xfId="0" applyFont="1" applyFill="1" applyBorder="1" applyAlignment="1">
      <alignment horizontal="center" vertical="center"/>
    </xf>
    <xf numFmtId="176" fontId="0" fillId="2" borderId="0" xfId="1" applyNumberFormat="1" applyFont="1" applyFill="1">
      <alignment vertical="center"/>
    </xf>
    <xf numFmtId="176" fontId="0" fillId="2" borderId="1" xfId="1" applyNumberFormat="1" applyFont="1" applyFill="1" applyBorder="1">
      <alignment vertical="center"/>
    </xf>
    <xf numFmtId="176" fontId="0" fillId="2" borderId="0" xfId="1" applyNumberFormat="1" applyFont="1" applyFill="1" applyBorder="1" applyAlignment="1">
      <alignment vertical="center"/>
    </xf>
    <xf numFmtId="176" fontId="0" fillId="2" borderId="1" xfId="1" applyNumberFormat="1" applyFont="1" applyFill="1" applyBorder="1" applyAlignment="1">
      <alignment vertical="center"/>
    </xf>
    <xf numFmtId="0" fontId="0" fillId="2" borderId="0" xfId="0" applyFill="1" applyAlignment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9" fontId="0" fillId="2" borderId="2" xfId="1" applyFont="1" applyFill="1" applyBorder="1" applyAlignment="1">
      <alignment horizontal="center" vertical="center"/>
    </xf>
    <xf numFmtId="0" fontId="0" fillId="2" borderId="3" xfId="0" applyFill="1" applyBorder="1" applyAlignment="1"/>
    <xf numFmtId="10" fontId="0" fillId="2" borderId="4" xfId="1" applyNumberFormat="1" applyFont="1" applyFill="1" applyBorder="1" applyAlignment="1"/>
    <xf numFmtId="0" fontId="0" fillId="2" borderId="5" xfId="0" applyFill="1" applyBorder="1" applyAlignment="1"/>
    <xf numFmtId="176" fontId="0" fillId="2" borderId="6" xfId="1" applyNumberFormat="1" applyFont="1" applyFill="1" applyBorder="1" applyAlignment="1"/>
    <xf numFmtId="10" fontId="0" fillId="2" borderId="6" xfId="1" applyNumberFormat="1" applyFont="1" applyFill="1" applyBorder="1" applyAlignment="1"/>
    <xf numFmtId="0" fontId="0" fillId="2" borderId="7" xfId="0" applyFill="1" applyBorder="1" applyAlignment="1"/>
    <xf numFmtId="10" fontId="3" fillId="2" borderId="8" xfId="0" applyNumberFormat="1" applyFont="1" applyFill="1" applyBorder="1" applyAlignment="1"/>
    <xf numFmtId="0" fontId="0" fillId="2" borderId="9" xfId="0" applyFill="1" applyBorder="1" applyAlignment="1"/>
    <xf numFmtId="9" fontId="0" fillId="2" borderId="9" xfId="0" applyNumberFormat="1" applyFill="1" applyBorder="1" applyAlignment="1"/>
    <xf numFmtId="176" fontId="0" fillId="2" borderId="0" xfId="1" applyNumberFormat="1" applyFont="1" applyFill="1" applyBorder="1" applyAlignment="1">
      <alignment horizontal="center" vertical="center"/>
    </xf>
    <xf numFmtId="176" fontId="0" fillId="2" borderId="1" xfId="1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76" fontId="0" fillId="2" borderId="0" xfId="0" applyNumberFormat="1" applyFill="1" applyBorder="1" applyAlignment="1">
      <alignment horizontal="center" vertical="center"/>
    </xf>
    <xf numFmtId="9" fontId="6" fillId="2" borderId="0" xfId="0" quotePrefix="1" applyNumberFormat="1" applyFont="1" applyFill="1" applyAlignment="1">
      <alignment horizontal="left"/>
    </xf>
    <xf numFmtId="176" fontId="0" fillId="2" borderId="9" xfId="0" applyNumberFormat="1" applyFill="1" applyBorder="1" applyAlignment="1"/>
    <xf numFmtId="9" fontId="6" fillId="2" borderId="0" xfId="0" applyNumberFormat="1" applyFont="1" applyFill="1" applyBorder="1" applyAlignment="1">
      <alignment horizontal="center"/>
    </xf>
  </cellXfs>
  <cellStyles count="5">
    <cellStyle name="パーセント 2" xfId="3" xr:uid="{00000000-0005-0000-0000-000001000000}"/>
    <cellStyle name="百分比" xfId="1" builtinId="5"/>
    <cellStyle name="標準 2" xfId="2" xr:uid="{00000000-0005-0000-0000-000003000000}"/>
    <cellStyle name="標準 3" xfId="4" xr:uid="{00000000-0005-0000-0000-000004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sz="1600"/>
              <a:t>要求収益率</a:t>
            </a:r>
            <a:r>
              <a:rPr lang="ja-JP" sz="1600"/>
              <a:t>水準別構成比率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アセット・アロケーション!$C$30</c:f>
              <c:strCache>
                <c:ptCount val="1"/>
                <c:pt idx="0">
                  <c:v>国内株式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アセット・アロケーション!$B$31:$B$40</c:f>
              <c:numCache>
                <c:formatCode>0.0%</c:formatCode>
                <c:ptCount val="1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0.12</c:v>
                </c:pt>
                <c:pt idx="8">
                  <c:v>0.14000000000000001</c:v>
                </c:pt>
                <c:pt idx="9">
                  <c:v>0.16</c:v>
                </c:pt>
              </c:numCache>
            </c:numRef>
          </c:cat>
          <c:val>
            <c:numRef>
              <c:f>アセット・アロケーション!$C$31:$C$40</c:f>
              <c:numCache>
                <c:formatCode>0.0%</c:formatCode>
                <c:ptCount val="10"/>
                <c:pt idx="0">
                  <c:v>1.0109331504878811E-4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92-E946-8382-9C3A56C7C5A3}"/>
            </c:ext>
          </c:extLst>
        </c:ser>
        <c:ser>
          <c:idx val="1"/>
          <c:order val="1"/>
          <c:tx>
            <c:strRef>
              <c:f>アセット・アロケーション!$D$30</c:f>
              <c:strCache>
                <c:ptCount val="1"/>
                <c:pt idx="0">
                  <c:v>国内債券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アセット・アロケーション!$B$31:$B$40</c:f>
              <c:numCache>
                <c:formatCode>0.0%</c:formatCode>
                <c:ptCount val="1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0.12</c:v>
                </c:pt>
                <c:pt idx="8">
                  <c:v>0.14000000000000001</c:v>
                </c:pt>
                <c:pt idx="9">
                  <c:v>0.16</c:v>
                </c:pt>
              </c:numCache>
            </c:numRef>
          </c:cat>
          <c:val>
            <c:numRef>
              <c:f>アセット・アロケーション!$D$31:$D$40</c:f>
              <c:numCache>
                <c:formatCode>0.0%</c:formatCode>
                <c:ptCount val="10"/>
                <c:pt idx="0">
                  <c:v>0.98928415906060085</c:v>
                </c:pt>
                <c:pt idx="1">
                  <c:v>0.96404595937802973</c:v>
                </c:pt>
                <c:pt idx="2">
                  <c:v>0.90347703192965401</c:v>
                </c:pt>
                <c:pt idx="3">
                  <c:v>0.77586441178570531</c:v>
                </c:pt>
                <c:pt idx="4">
                  <c:v>0.64825176685167074</c:v>
                </c:pt>
                <c:pt idx="5">
                  <c:v>0.52063912336514506</c:v>
                </c:pt>
                <c:pt idx="6">
                  <c:v>0.3930265152459993</c:v>
                </c:pt>
                <c:pt idx="7">
                  <c:v>0.26541387002577677</c:v>
                </c:pt>
                <c:pt idx="8">
                  <c:v>0.13780125963603909</c:v>
                </c:pt>
                <c:pt idx="9">
                  <c:v>1.0188610208864796E-2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2-E946-8382-9C3A56C7C5A3}"/>
            </c:ext>
          </c:extLst>
        </c:ser>
        <c:ser>
          <c:idx val="2"/>
          <c:order val="2"/>
          <c:tx>
            <c:strRef>
              <c:f>アセット・アロケーション!$E$30</c:f>
              <c:strCache>
                <c:ptCount val="1"/>
                <c:pt idx="0">
                  <c:v>国内REIT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アセット・アロケーション!$B$31:$B$40</c:f>
              <c:numCache>
                <c:formatCode>0.0%</c:formatCode>
                <c:ptCount val="1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0.12</c:v>
                </c:pt>
                <c:pt idx="8">
                  <c:v>0.14000000000000001</c:v>
                </c:pt>
                <c:pt idx="9">
                  <c:v>0.16</c:v>
                </c:pt>
              </c:numCache>
            </c:numRef>
          </c:cat>
          <c:val>
            <c:numRef>
              <c:f>アセット・アロケーション!$E$31:$E$40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92-E946-8382-9C3A56C7C5A3}"/>
            </c:ext>
          </c:extLst>
        </c:ser>
        <c:ser>
          <c:idx val="3"/>
          <c:order val="3"/>
          <c:tx>
            <c:strRef>
              <c:f>アセット・アロケーション!$F$30</c:f>
              <c:strCache>
                <c:ptCount val="1"/>
                <c:pt idx="0">
                  <c:v>先進国株式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アセット・アロケーション!$B$31:$B$40</c:f>
              <c:numCache>
                <c:formatCode>0.0%</c:formatCode>
                <c:ptCount val="1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0.12</c:v>
                </c:pt>
                <c:pt idx="8">
                  <c:v>0.14000000000000001</c:v>
                </c:pt>
                <c:pt idx="9">
                  <c:v>0.16</c:v>
                </c:pt>
              </c:numCache>
            </c:numRef>
          </c:cat>
          <c:val>
            <c:numRef>
              <c:f>アセット・アロケーション!$F$31:$F$40</c:f>
              <c:numCache>
                <c:formatCode>0.0%</c:formatCode>
                <c:ptCount val="10"/>
                <c:pt idx="0">
                  <c:v>0</c:v>
                </c:pt>
                <c:pt idx="1">
                  <c:v>2.6377390193307287E-2</c:v>
                </c:pt>
                <c:pt idx="2">
                  <c:v>7.8571054728570566E-2</c:v>
                </c:pt>
                <c:pt idx="3">
                  <c:v>0.16923556351241376</c:v>
                </c:pt>
                <c:pt idx="4">
                  <c:v>0.25990006296827428</c:v>
                </c:pt>
                <c:pt idx="5">
                  <c:v>0.35056452239451902</c:v>
                </c:pt>
                <c:pt idx="6">
                  <c:v>0.44122905809727381</c:v>
                </c:pt>
                <c:pt idx="7">
                  <c:v>0.53189352643348353</c:v>
                </c:pt>
                <c:pt idx="8">
                  <c:v>0.62255811684758755</c:v>
                </c:pt>
                <c:pt idx="9">
                  <c:v>0.71322253226287469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92-E946-8382-9C3A56C7C5A3}"/>
            </c:ext>
          </c:extLst>
        </c:ser>
        <c:ser>
          <c:idx val="4"/>
          <c:order val="4"/>
          <c:tx>
            <c:strRef>
              <c:f>アセット・アロケーション!$G$30</c:f>
              <c:strCache>
                <c:ptCount val="1"/>
                <c:pt idx="0">
                  <c:v>先進国債券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アセット・アロケーション!$B$31:$B$40</c:f>
              <c:numCache>
                <c:formatCode>0.0%</c:formatCode>
                <c:ptCount val="1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0.12</c:v>
                </c:pt>
                <c:pt idx="8">
                  <c:v>0.14000000000000001</c:v>
                </c:pt>
                <c:pt idx="9">
                  <c:v>0.16</c:v>
                </c:pt>
              </c:numCache>
            </c:numRef>
          </c:cat>
          <c:val>
            <c:numRef>
              <c:f>アセット・アロケーション!$G$31:$G$40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92-E946-8382-9C3A56C7C5A3}"/>
            </c:ext>
          </c:extLst>
        </c:ser>
        <c:ser>
          <c:idx val="5"/>
          <c:order val="5"/>
          <c:tx>
            <c:strRef>
              <c:f>アセット・アロケーション!$H$30</c:f>
              <c:strCache>
                <c:ptCount val="1"/>
                <c:pt idx="0">
                  <c:v>先進国REIT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アセット・アロケーション!$B$31:$B$40</c:f>
              <c:numCache>
                <c:formatCode>0.0%</c:formatCode>
                <c:ptCount val="1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0.12</c:v>
                </c:pt>
                <c:pt idx="8">
                  <c:v>0.14000000000000001</c:v>
                </c:pt>
                <c:pt idx="9">
                  <c:v>0.16</c:v>
                </c:pt>
              </c:numCache>
            </c:numRef>
          </c:cat>
          <c:val>
            <c:numRef>
              <c:f>アセット・アロケーション!$H$31:$H$40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D92-E946-8382-9C3A56C7C5A3}"/>
            </c:ext>
          </c:extLst>
        </c:ser>
        <c:ser>
          <c:idx val="6"/>
          <c:order val="6"/>
          <c:tx>
            <c:strRef>
              <c:f>アセット・アロケーション!$I$30</c:f>
              <c:strCache>
                <c:ptCount val="1"/>
                <c:pt idx="0">
                  <c:v>ハイイールド債券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アセット・アロケーション!$B$31:$B$40</c:f>
              <c:numCache>
                <c:formatCode>0.0%</c:formatCode>
                <c:ptCount val="1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0.12</c:v>
                </c:pt>
                <c:pt idx="8">
                  <c:v>0.14000000000000001</c:v>
                </c:pt>
                <c:pt idx="9">
                  <c:v>0.16</c:v>
                </c:pt>
              </c:numCache>
            </c:numRef>
          </c:cat>
          <c:val>
            <c:numRef>
              <c:f>アセット・アロケーション!$I$31:$I$40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1.7951923294457495E-2</c:v>
                </c:pt>
                <c:pt idx="3">
                  <c:v>5.4900041185352071E-2</c:v>
                </c:pt>
                <c:pt idx="4">
                  <c:v>9.1848176890738736E-2</c:v>
                </c:pt>
                <c:pt idx="5">
                  <c:v>0.12879636071337236</c:v>
                </c:pt>
                <c:pt idx="6">
                  <c:v>0.16574443792589974</c:v>
                </c:pt>
                <c:pt idx="7">
                  <c:v>0.20269261258826332</c:v>
                </c:pt>
                <c:pt idx="8">
                  <c:v>0.23964063353419135</c:v>
                </c:pt>
                <c:pt idx="9">
                  <c:v>0.27658886692339602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92-E946-8382-9C3A56C7C5A3}"/>
            </c:ext>
          </c:extLst>
        </c:ser>
        <c:ser>
          <c:idx val="7"/>
          <c:order val="7"/>
          <c:tx>
            <c:strRef>
              <c:f>アセット・アロケーション!$J$30</c:f>
              <c:strCache>
                <c:ptCount val="1"/>
                <c:pt idx="0">
                  <c:v>新興国株式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アセット・アロケーション!$B$31:$B$40</c:f>
              <c:numCache>
                <c:formatCode>0.0%</c:formatCode>
                <c:ptCount val="1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0.12</c:v>
                </c:pt>
                <c:pt idx="8">
                  <c:v>0.14000000000000001</c:v>
                </c:pt>
                <c:pt idx="9">
                  <c:v>0.16</c:v>
                </c:pt>
              </c:numCache>
            </c:numRef>
          </c:cat>
          <c:val>
            <c:numRef>
              <c:f>アセット・アロケーション!$J$31:$J$40</c:f>
              <c:numCache>
                <c:formatCode>0.0%</c:formatCode>
                <c:ptCount val="10"/>
                <c:pt idx="0">
                  <c:v>1.0614755258030904E-2</c:v>
                </c:pt>
                <c:pt idx="1">
                  <c:v>9.5766586014296128E-3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D92-E946-8382-9C3A56C7C5A3}"/>
            </c:ext>
          </c:extLst>
        </c:ser>
        <c:ser>
          <c:idx val="8"/>
          <c:order val="8"/>
          <c:tx>
            <c:strRef>
              <c:f>アセット・アロケーション!$K$30</c:f>
              <c:strCache>
                <c:ptCount val="1"/>
                <c:pt idx="0">
                  <c:v>新興国債券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アセット・アロケーション!$B$31:$B$40</c:f>
              <c:numCache>
                <c:formatCode>0.0%</c:formatCode>
                <c:ptCount val="1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0.12</c:v>
                </c:pt>
                <c:pt idx="8">
                  <c:v>0.14000000000000001</c:v>
                </c:pt>
                <c:pt idx="9">
                  <c:v>0.16</c:v>
                </c:pt>
              </c:numCache>
            </c:numRef>
          </c:cat>
          <c:val>
            <c:numRef>
              <c:f>アセット・アロケーション!$K$31:$K$40</c:f>
              <c:numCache>
                <c:formatCode>0.0%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92-E946-8382-9C3A56C7C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3170640"/>
        <c:axId val="1367434096"/>
      </c:barChart>
      <c:catAx>
        <c:axId val="1733170640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67434096"/>
        <c:crosses val="autoZero"/>
        <c:auto val="1"/>
        <c:lblAlgn val="ctr"/>
        <c:lblOffset val="100"/>
        <c:noMultiLvlLbl val="0"/>
      </c:catAx>
      <c:valAx>
        <c:axId val="13674340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3317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sz="1600"/>
              <a:t>ポートフォリオのリスクリターン特性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アセット・アロケーション!$B$30</c:f>
              <c:strCache>
                <c:ptCount val="1"/>
                <c:pt idx="0">
                  <c:v>期待収益率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アセット・アロケーション!$A$31:$A$40</c:f>
              <c:numCache>
                <c:formatCode>0.0%</c:formatCode>
                <c:ptCount val="10"/>
                <c:pt idx="0">
                  <c:v>1.25207433156074E-2</c:v>
                </c:pt>
                <c:pt idx="1">
                  <c:v>1.3516140732635497E-2</c:v>
                </c:pt>
                <c:pt idx="2">
                  <c:v>2.0507912022358417E-2</c:v>
                </c:pt>
                <c:pt idx="3">
                  <c:v>4.0641552902992886E-2</c:v>
                </c:pt>
                <c:pt idx="4">
                  <c:v>6.2448772885021105E-2</c:v>
                </c:pt>
                <c:pt idx="5">
                  <c:v>8.4645818676500006E-2</c:v>
                </c:pt>
                <c:pt idx="6">
                  <c:v>0.10699033433631713</c:v>
                </c:pt>
                <c:pt idx="7">
                  <c:v>0.12940595431700108</c:v>
                </c:pt>
                <c:pt idx="8">
                  <c:v>0.15186119438570594</c:v>
                </c:pt>
                <c:pt idx="9">
                  <c:v>0.1743407450191139</c:v>
                </c:pt>
              </c:numCache>
            </c:numRef>
          </c:xVal>
          <c:yVal>
            <c:numRef>
              <c:f>アセット・アロケーション!$B$31:$B$40</c:f>
              <c:numCache>
                <c:formatCode>0.0%</c:formatCode>
                <c:ptCount val="10"/>
                <c:pt idx="0">
                  <c:v>5.0000000000000001E-3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0.04</c:v>
                </c:pt>
                <c:pt idx="4">
                  <c:v>0.06</c:v>
                </c:pt>
                <c:pt idx="5">
                  <c:v>0.08</c:v>
                </c:pt>
                <c:pt idx="6">
                  <c:v>0.1</c:v>
                </c:pt>
                <c:pt idx="7">
                  <c:v>0.12</c:v>
                </c:pt>
                <c:pt idx="8">
                  <c:v>0.14000000000000001</c:v>
                </c:pt>
                <c:pt idx="9">
                  <c:v>0.16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7B-B147-8702-BDBB6A28C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831328"/>
        <c:axId val="818832976"/>
      </c:scatterChart>
      <c:valAx>
        <c:axId val="81883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8832976"/>
        <c:crosses val="autoZero"/>
        <c:crossBetween val="midCat"/>
      </c:valAx>
      <c:valAx>
        <c:axId val="81883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1883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1384300</xdr:colOff>
      <xdr:row>1</xdr:row>
      <xdr:rowOff>127000</xdr:rowOff>
    </xdr:from>
    <xdr:to>
      <xdr:col>5</xdr:col>
      <xdr:colOff>749300</xdr:colOff>
      <xdr:row>3</xdr:row>
      <xdr:rowOff>241300</xdr:rowOff>
    </xdr:to>
    <xdr:sp macro="[0]!excecute_solver" textlink="">
      <xdr:nvSpPr>
        <xdr:cNvPr id="3" name="額縁 2">
          <a:extLst>
            <a:ext uri="{FF2B5EF4-FFF2-40B4-BE49-F238E27FC236}">
              <a16:creationId xmlns:a16="http://schemas.microsoft.com/office/drawing/2014/main" id="{C6829402-0A29-155E-5CF3-FD284A81AEF9}"/>
            </a:ext>
          </a:extLst>
        </xdr:cNvPr>
        <xdr:cNvSpPr/>
      </xdr:nvSpPr>
      <xdr:spPr>
        <a:xfrm>
          <a:off x="1384300" y="381000"/>
          <a:ext cx="3619500" cy="6223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/>
            <a:t>ソルバー実行</a:t>
          </a:r>
        </a:p>
      </xdr:txBody>
    </xdr:sp>
    <xdr:clientData/>
  </xdr:twoCellAnchor>
  <xdr:twoCellAnchor>
    <xdr:from>
      <xdr:col>0</xdr:col>
      <xdr:colOff>419100</xdr:colOff>
      <xdr:row>40</xdr:row>
      <xdr:rowOff>234950</xdr:rowOff>
    </xdr:from>
    <xdr:to>
      <xdr:col>7</xdr:col>
      <xdr:colOff>520700</xdr:colOff>
      <xdr:row>55</xdr:row>
      <xdr:rowOff>127000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8F45AE6A-8C91-0775-A456-C8A33C9412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660400</xdr:colOff>
      <xdr:row>40</xdr:row>
      <xdr:rowOff>241300</xdr:rowOff>
    </xdr:from>
    <xdr:to>
      <xdr:col>12</xdr:col>
      <xdr:colOff>723900</xdr:colOff>
      <xdr:row>55</xdr:row>
      <xdr:rowOff>101600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34F35F9A-FE4C-FB8C-EA94-51F3B53A03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pageSetUpPr fitToPage="1"/>
  </sheetPr>
  <dimension ref="A5:L40"/>
  <sheetViews>
    <sheetView tabSelected="1" zoomScale="68" workbookViewId="0">
      <selection activeCell="T37" sqref="T37"/>
    </sheetView>
  </sheetViews>
  <sheetFormatPr baseColWidth="10" defaultColWidth="10.6640625" defaultRowHeight="16"/>
  <cols>
    <col min="1" max="1" width="10.6640625" style="1"/>
    <col min="2" max="2" width="15.6640625" style="1" bestFit="1" customWidth="1"/>
    <col min="3" max="8" width="10.6640625" style="1"/>
    <col min="9" max="9" width="15.6640625" style="1" bestFit="1" customWidth="1"/>
    <col min="10" max="16384" width="10.6640625" style="1"/>
  </cols>
  <sheetData>
    <row r="5" spans="2:11" ht="17" thickBot="1"/>
    <row r="6" spans="2:11">
      <c r="B6" s="24" t="s">
        <v>10</v>
      </c>
      <c r="C6" s="24" t="s">
        <v>8</v>
      </c>
      <c r="D6" s="24" t="s">
        <v>1</v>
      </c>
      <c r="E6" s="24" t="s">
        <v>0</v>
      </c>
      <c r="F6" s="24" t="s">
        <v>4</v>
      </c>
      <c r="G6" s="24" t="s">
        <v>2</v>
      </c>
      <c r="H6" s="24" t="s">
        <v>5</v>
      </c>
      <c r="I6" s="24" t="s">
        <v>3</v>
      </c>
      <c r="J6" s="24" t="s">
        <v>7</v>
      </c>
      <c r="K6" s="24" t="s">
        <v>6</v>
      </c>
    </row>
    <row r="7" spans="2:11">
      <c r="B7" s="22" t="s">
        <v>22</v>
      </c>
      <c r="C7" s="25">
        <v>7.9692307692307701E-2</v>
      </c>
      <c r="D7" s="25">
        <v>4.5384615384615398E-3</v>
      </c>
      <c r="E7" s="25">
        <v>8.3692307692307705E-2</v>
      </c>
      <c r="F7" s="25">
        <v>0.17093952143951829</v>
      </c>
      <c r="G7" s="25">
        <v>2.7823197908648442E-2</v>
      </c>
      <c r="H7" s="25">
        <v>8.4884453402942706E-2</v>
      </c>
      <c r="I7" s="25">
        <v>0.13751761337329693</v>
      </c>
      <c r="J7" s="25">
        <v>0.11650995546746309</v>
      </c>
      <c r="K7" s="25">
        <v>1.8970200153214371E-2</v>
      </c>
    </row>
    <row r="8" spans="2:11" ht="17" thickBot="1">
      <c r="B8" s="23" t="s">
        <v>9</v>
      </c>
      <c r="C8" s="21">
        <v>0.17735575576384299</v>
      </c>
      <c r="D8" s="21">
        <v>1.3463626211731769E-2</v>
      </c>
      <c r="E8" s="21">
        <v>0.19932987090724119</v>
      </c>
      <c r="F8" s="21">
        <v>0.19762268283312986</v>
      </c>
      <c r="G8" s="21">
        <v>9.6540975252607394E-2</v>
      </c>
      <c r="H8" s="21">
        <v>0.21093659648786059</v>
      </c>
      <c r="I8" s="21">
        <v>0.1811501343367756</v>
      </c>
      <c r="J8" s="21">
        <v>0.26697136713783082</v>
      </c>
      <c r="K8" s="21">
        <v>9.1554733417402265E-2</v>
      </c>
    </row>
    <row r="9" spans="2:11" ht="17" thickBot="1">
      <c r="C9" s="3"/>
      <c r="D9" s="3"/>
      <c r="E9" s="3"/>
      <c r="F9" s="3"/>
      <c r="G9" s="3"/>
      <c r="H9" s="3"/>
      <c r="I9" s="3"/>
      <c r="J9" s="3"/>
      <c r="K9" s="3"/>
    </row>
    <row r="10" spans="2:11">
      <c r="B10" s="2" t="s">
        <v>14</v>
      </c>
      <c r="C10" s="2" t="s">
        <v>8</v>
      </c>
      <c r="D10" s="2" t="s">
        <v>1</v>
      </c>
      <c r="E10" s="2" t="s">
        <v>0</v>
      </c>
      <c r="F10" s="2" t="s">
        <v>4</v>
      </c>
      <c r="G10" s="2" t="s">
        <v>2</v>
      </c>
      <c r="H10" s="2" t="s">
        <v>5</v>
      </c>
      <c r="I10" s="2" t="s">
        <v>3</v>
      </c>
      <c r="J10" s="2" t="s">
        <v>7</v>
      </c>
      <c r="K10" s="2" t="s">
        <v>6</v>
      </c>
    </row>
    <row r="11" spans="2:11">
      <c r="B11" s="22" t="s">
        <v>8</v>
      </c>
      <c r="C11" s="3">
        <v>2.9035443786982199E-2</v>
      </c>
      <c r="D11" s="3">
        <v>-2.4680473372781041E-5</v>
      </c>
      <c r="E11" s="3">
        <v>1.7249059171597629E-2</v>
      </c>
      <c r="F11" s="3">
        <v>2.7041496440490424E-2</v>
      </c>
      <c r="G11" s="3">
        <v>9.1579570592988623E-3</v>
      </c>
      <c r="H11" s="3">
        <v>2.1078435440730646E-2</v>
      </c>
      <c r="I11" s="3">
        <v>1.223914881068274E-2</v>
      </c>
      <c r="J11" s="3">
        <v>1.7009569279286894E-2</v>
      </c>
      <c r="K11" s="3">
        <v>1.0728553457438299E-2</v>
      </c>
    </row>
    <row r="12" spans="2:11">
      <c r="B12" s="22" t="s">
        <v>1</v>
      </c>
      <c r="C12" s="5">
        <v>-2.4680473372781041E-5</v>
      </c>
      <c r="D12" s="3">
        <v>1.6732544378698222E-4</v>
      </c>
      <c r="E12" s="3">
        <v>1.1227810650887575E-3</v>
      </c>
      <c r="F12" s="3">
        <v>-1.4180457335696248E-4</v>
      </c>
      <c r="G12" s="3">
        <v>5.4181950632277767E-4</v>
      </c>
      <c r="H12" s="3">
        <v>4.7203170073216281E-5</v>
      </c>
      <c r="I12" s="3">
        <v>6.6610706024482639E-5</v>
      </c>
      <c r="J12" s="3">
        <v>-6.8728292831011129E-4</v>
      </c>
      <c r="K12" s="3">
        <v>4.6290062810739176E-4</v>
      </c>
    </row>
    <row r="13" spans="2:11">
      <c r="B13" s="22" t="s">
        <v>0</v>
      </c>
      <c r="C13" s="5">
        <v>1.7249059171597629E-2</v>
      </c>
      <c r="D13" s="5">
        <v>1.1227810650887575E-3</v>
      </c>
      <c r="E13" s="3">
        <v>3.6676059171597643E-2</v>
      </c>
      <c r="F13" s="3">
        <v>2.0150997703778682E-2</v>
      </c>
      <c r="G13" s="3">
        <v>1.0293708052195427E-2</v>
      </c>
      <c r="H13" s="3">
        <v>2.3825749893816719E-2</v>
      </c>
      <c r="I13" s="3">
        <v>1.1955251416433657E-2</v>
      </c>
      <c r="J13" s="3">
        <v>9.8760823325823501E-3</v>
      </c>
      <c r="K13" s="3">
        <v>1.0022471989033024E-2</v>
      </c>
    </row>
    <row r="14" spans="2:11">
      <c r="B14" s="22" t="s">
        <v>4</v>
      </c>
      <c r="C14" s="5">
        <v>2.7041496440490424E-2</v>
      </c>
      <c r="D14" s="5">
        <v>-1.4180457335696248E-4</v>
      </c>
      <c r="E14" s="5">
        <v>2.0150997703778682E-2</v>
      </c>
      <c r="F14" s="3">
        <v>3.6050515172458934E-2</v>
      </c>
      <c r="G14" s="3">
        <v>1.1570839738575518E-2</v>
      </c>
      <c r="H14" s="3">
        <v>3.1199493135927611E-2</v>
      </c>
      <c r="I14" s="3">
        <v>2.4688685411924042E-2</v>
      </c>
      <c r="J14" s="3">
        <v>3.1594733658210396E-2</v>
      </c>
      <c r="K14" s="3">
        <v>1.3619021198056424E-2</v>
      </c>
    </row>
    <row r="15" spans="2:11">
      <c r="B15" s="22" t="s">
        <v>2</v>
      </c>
      <c r="C15" s="5">
        <v>9.1579570592988623E-3</v>
      </c>
      <c r="D15" s="5">
        <v>5.4181950632277767E-4</v>
      </c>
      <c r="E15" s="5">
        <v>1.0293708052195427E-2</v>
      </c>
      <c r="F15" s="5">
        <v>1.1570839738575518E-2</v>
      </c>
      <c r="G15" s="3">
        <v>8.603224525591896E-3</v>
      </c>
      <c r="H15" s="3">
        <v>1.0127158657016407E-2</v>
      </c>
      <c r="I15" s="3">
        <v>6.7754387246241558E-3</v>
      </c>
      <c r="J15" s="3">
        <v>3.4868924596808434E-3</v>
      </c>
      <c r="K15" s="3">
        <v>7.3740979562345729E-3</v>
      </c>
    </row>
    <row r="16" spans="2:11">
      <c r="B16" s="22" t="s">
        <v>5</v>
      </c>
      <c r="C16" s="5">
        <v>2.1078435440730646E-2</v>
      </c>
      <c r="D16" s="5">
        <v>4.7203170073216281E-5</v>
      </c>
      <c r="E16" s="5">
        <v>2.3825749893816719E-2</v>
      </c>
      <c r="F16" s="5">
        <v>3.1199493135927611E-2</v>
      </c>
      <c r="G16" s="5">
        <v>1.0127158657016407E-2</v>
      </c>
      <c r="H16" s="3">
        <v>4.1071613296506937E-2</v>
      </c>
      <c r="I16" s="3">
        <v>2.9023110903139911E-2</v>
      </c>
      <c r="J16" s="3">
        <v>4.09530216678912E-2</v>
      </c>
      <c r="K16" s="3">
        <v>1.3015517841500438E-2</v>
      </c>
    </row>
    <row r="17" spans="1:12">
      <c r="B17" s="22" t="s">
        <v>3</v>
      </c>
      <c r="C17" s="5">
        <v>1.223914881068274E-2</v>
      </c>
      <c r="D17" s="5">
        <v>6.6610706024482639E-5</v>
      </c>
      <c r="E17" s="5">
        <v>1.1955251416433657E-2</v>
      </c>
      <c r="F17" s="5">
        <v>2.4688685411924042E-2</v>
      </c>
      <c r="G17" s="5">
        <v>6.7754387246241558E-3</v>
      </c>
      <c r="H17" s="5">
        <v>2.9023110903139911E-2</v>
      </c>
      <c r="I17" s="3">
        <v>3.0291111849444788E-2</v>
      </c>
      <c r="J17" s="3">
        <v>3.8949598527900427E-2</v>
      </c>
      <c r="K17" s="3">
        <v>9.4574366927758953E-3</v>
      </c>
    </row>
    <row r="18" spans="1:12">
      <c r="B18" s="22" t="s">
        <v>7</v>
      </c>
      <c r="C18" s="5">
        <v>1.7009569279286894E-2</v>
      </c>
      <c r="D18" s="5">
        <v>-6.8728292831011129E-4</v>
      </c>
      <c r="E18" s="5">
        <v>9.8760823325823501E-3</v>
      </c>
      <c r="F18" s="5">
        <v>3.1594733658210396E-2</v>
      </c>
      <c r="G18" s="5">
        <v>3.4868924596808434E-3</v>
      </c>
      <c r="H18" s="5">
        <v>4.09530216678912E-2</v>
      </c>
      <c r="I18" s="5">
        <v>3.8949598527900427E-2</v>
      </c>
      <c r="J18" s="3">
        <v>6.5791117727485318E-2</v>
      </c>
      <c r="K18" s="3">
        <v>9.863996991039202E-3</v>
      </c>
    </row>
    <row r="19" spans="1:12" ht="17" thickBot="1">
      <c r="B19" s="23" t="s">
        <v>6</v>
      </c>
      <c r="C19" s="6">
        <v>1.0728553457438299E-2</v>
      </c>
      <c r="D19" s="6">
        <v>4.6290062810739176E-4</v>
      </c>
      <c r="E19" s="6">
        <v>1.0022471989033024E-2</v>
      </c>
      <c r="F19" s="6">
        <v>1.3619021198056424E-2</v>
      </c>
      <c r="G19" s="6">
        <v>7.3740979562345729E-3</v>
      </c>
      <c r="H19" s="6">
        <v>1.3015517841500438E-2</v>
      </c>
      <c r="I19" s="6">
        <v>9.4574366927758953E-3</v>
      </c>
      <c r="J19" s="6">
        <v>9.863996991039202E-3</v>
      </c>
      <c r="K19" s="4">
        <v>7.7374792718137792E-3</v>
      </c>
    </row>
    <row r="21" spans="1:12">
      <c r="B21" s="18" t="s">
        <v>11</v>
      </c>
      <c r="C21" s="27">
        <v>0</v>
      </c>
      <c r="D21" s="27">
        <v>0.26541382553429066</v>
      </c>
      <c r="E21" s="27">
        <v>0</v>
      </c>
      <c r="F21" s="27">
        <v>0.53189351668456575</v>
      </c>
      <c r="G21" s="27">
        <v>0</v>
      </c>
      <c r="H21" s="27">
        <v>0</v>
      </c>
      <c r="I21" s="27">
        <v>0.2026926067692576</v>
      </c>
      <c r="J21" s="27">
        <v>0</v>
      </c>
      <c r="K21" s="27">
        <v>0</v>
      </c>
      <c r="L21" s="19">
        <f>SUM(C21:K21)</f>
        <v>0.99999994898811395</v>
      </c>
    </row>
    <row r="22" spans="1:12">
      <c r="B22" s="7"/>
      <c r="C22" s="28"/>
      <c r="D22" s="28"/>
      <c r="E22" s="28"/>
      <c r="F22" s="28"/>
      <c r="G22" s="28"/>
      <c r="H22" s="28"/>
      <c r="I22" s="28"/>
      <c r="J22" s="28"/>
      <c r="K22" s="28"/>
      <c r="L22" s="26" t="s">
        <v>12</v>
      </c>
    </row>
    <row r="23" spans="1:12" s="9" customFormat="1" ht="17" thickBot="1">
      <c r="B23" s="8"/>
      <c r="C23" s="8"/>
      <c r="D23" s="8"/>
      <c r="E23" s="8"/>
      <c r="F23" s="8"/>
      <c r="G23" s="8"/>
      <c r="H23" s="8"/>
    </row>
    <row r="24" spans="1:12" ht="21" thickTop="1">
      <c r="B24" s="11" t="s">
        <v>13</v>
      </c>
      <c r="C24" s="12" cm="1">
        <f t="array" ref="C24">MMULT(MMULT(C21:K21,C11:K19),TRANSPOSE(C21:K21))</f>
        <v>1.6745900319054815E-2</v>
      </c>
      <c r="D24" s="7" t="s">
        <v>16</v>
      </c>
      <c r="E24" s="7"/>
      <c r="F24" s="7"/>
      <c r="G24" s="7"/>
      <c r="H24" s="7"/>
    </row>
    <row r="25" spans="1:12">
      <c r="B25" s="13" t="s">
        <v>9</v>
      </c>
      <c r="C25" s="14">
        <f>SQRT(C24)</f>
        <v>0.12940595163691204</v>
      </c>
      <c r="D25" s="7" t="s">
        <v>15</v>
      </c>
      <c r="E25" s="7"/>
      <c r="F25" s="7"/>
      <c r="G25" s="7"/>
      <c r="H25" s="7"/>
    </row>
    <row r="26" spans="1:12">
      <c r="B26" s="13" t="s">
        <v>18</v>
      </c>
      <c r="C26" s="15">
        <f>SUMPRODUCT(C21:K21,C7:K7)</f>
        <v>0.1199999971691259</v>
      </c>
      <c r="D26" s="7" t="s">
        <v>21</v>
      </c>
      <c r="E26" s="7"/>
      <c r="F26" s="7"/>
      <c r="G26" s="7"/>
      <c r="H26" s="7"/>
    </row>
    <row r="27" spans="1:12" ht="21" thickBot="1">
      <c r="B27" s="16" t="s">
        <v>17</v>
      </c>
      <c r="C27" s="17">
        <v>0.12</v>
      </c>
      <c r="D27" s="7" t="s">
        <v>20</v>
      </c>
      <c r="E27" s="7"/>
      <c r="F27" s="7"/>
      <c r="G27" s="7"/>
      <c r="H27" s="7"/>
    </row>
    <row r="28" spans="1:12" ht="17" thickTop="1"/>
    <row r="29" spans="1:12" ht="17" thickBot="1"/>
    <row r="30" spans="1:12">
      <c r="A30" s="10" t="s">
        <v>9</v>
      </c>
      <c r="B30" s="10" t="s">
        <v>19</v>
      </c>
      <c r="C30" s="10" t="s">
        <v>8</v>
      </c>
      <c r="D30" s="10" t="s">
        <v>1</v>
      </c>
      <c r="E30" s="10" t="s">
        <v>0</v>
      </c>
      <c r="F30" s="10" t="s">
        <v>4</v>
      </c>
      <c r="G30" s="10" t="s">
        <v>2</v>
      </c>
      <c r="H30" s="10" t="s">
        <v>5</v>
      </c>
      <c r="I30" s="10" t="s">
        <v>3</v>
      </c>
      <c r="J30" s="10" t="s">
        <v>7</v>
      </c>
      <c r="K30" s="10" t="s">
        <v>6</v>
      </c>
    </row>
    <row r="31" spans="1:12">
      <c r="A31" s="20">
        <v>1.25207433156074E-2</v>
      </c>
      <c r="B31" s="20">
        <v>5.0000000000000001E-3</v>
      </c>
      <c r="C31" s="20">
        <v>1.0109331504878811E-4</v>
      </c>
      <c r="D31" s="20">
        <v>0.98928415906060085</v>
      </c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1.0614755258030904E-2</v>
      </c>
      <c r="K31" s="20">
        <v>0</v>
      </c>
    </row>
    <row r="32" spans="1:12">
      <c r="A32" s="20">
        <v>1.3516140732635497E-2</v>
      </c>
      <c r="B32" s="20">
        <v>0.01</v>
      </c>
      <c r="C32" s="20">
        <v>0</v>
      </c>
      <c r="D32" s="20">
        <v>0.96404595937802973</v>
      </c>
      <c r="E32" s="20">
        <v>0</v>
      </c>
      <c r="F32" s="20">
        <v>2.6377390193307287E-2</v>
      </c>
      <c r="G32" s="20">
        <v>0</v>
      </c>
      <c r="H32" s="20">
        <v>0</v>
      </c>
      <c r="I32" s="20">
        <v>0</v>
      </c>
      <c r="J32" s="20">
        <v>9.5766586014296128E-3</v>
      </c>
      <c r="K32" s="20">
        <v>0</v>
      </c>
    </row>
    <row r="33" spans="1:11">
      <c r="A33" s="20">
        <v>2.0507912022358417E-2</v>
      </c>
      <c r="B33" s="20">
        <v>0.02</v>
      </c>
      <c r="C33" s="20">
        <v>0</v>
      </c>
      <c r="D33" s="20">
        <v>0.90347703192965401</v>
      </c>
      <c r="E33" s="20">
        <v>0</v>
      </c>
      <c r="F33" s="20">
        <v>7.8571054728570566E-2</v>
      </c>
      <c r="G33" s="20">
        <v>0</v>
      </c>
      <c r="H33" s="20">
        <v>0</v>
      </c>
      <c r="I33" s="20">
        <v>1.7951923294457495E-2</v>
      </c>
      <c r="J33" s="20">
        <v>0</v>
      </c>
      <c r="K33" s="20">
        <v>0</v>
      </c>
    </row>
    <row r="34" spans="1:11">
      <c r="A34" s="20">
        <v>4.0641552902992886E-2</v>
      </c>
      <c r="B34" s="20">
        <v>0.04</v>
      </c>
      <c r="C34" s="20">
        <v>0</v>
      </c>
      <c r="D34" s="20">
        <v>0.77586441178570531</v>
      </c>
      <c r="E34" s="20">
        <v>0</v>
      </c>
      <c r="F34" s="20">
        <v>0.16923556351241376</v>
      </c>
      <c r="G34" s="20">
        <v>0</v>
      </c>
      <c r="H34" s="20">
        <v>0</v>
      </c>
      <c r="I34" s="20">
        <v>5.4900041185352071E-2</v>
      </c>
      <c r="J34" s="20">
        <v>0</v>
      </c>
      <c r="K34" s="20">
        <v>0</v>
      </c>
    </row>
    <row r="35" spans="1:11">
      <c r="A35" s="20">
        <v>6.2448772885021105E-2</v>
      </c>
      <c r="B35" s="20">
        <v>0.06</v>
      </c>
      <c r="C35" s="20">
        <v>0</v>
      </c>
      <c r="D35" s="20">
        <v>0.64825176685167074</v>
      </c>
      <c r="E35" s="20">
        <v>0</v>
      </c>
      <c r="F35" s="20">
        <v>0.25990006296827428</v>
      </c>
      <c r="G35" s="20">
        <v>0</v>
      </c>
      <c r="H35" s="20">
        <v>0</v>
      </c>
      <c r="I35" s="20">
        <v>9.1848176890738736E-2</v>
      </c>
      <c r="J35" s="20">
        <v>0</v>
      </c>
      <c r="K35" s="20">
        <v>0</v>
      </c>
    </row>
    <row r="36" spans="1:11">
      <c r="A36" s="20">
        <v>8.4645818676500006E-2</v>
      </c>
      <c r="B36" s="20">
        <v>0.08</v>
      </c>
      <c r="C36" s="20">
        <v>0</v>
      </c>
      <c r="D36" s="20">
        <v>0.52063912336514506</v>
      </c>
      <c r="E36" s="20">
        <v>0</v>
      </c>
      <c r="F36" s="20">
        <v>0.35056452239451902</v>
      </c>
      <c r="G36" s="20">
        <v>0</v>
      </c>
      <c r="H36" s="20">
        <v>0</v>
      </c>
      <c r="I36" s="20">
        <v>0.12879636071337236</v>
      </c>
      <c r="J36" s="20">
        <v>0</v>
      </c>
      <c r="K36" s="20">
        <v>0</v>
      </c>
    </row>
    <row r="37" spans="1:11">
      <c r="A37" s="20">
        <v>0.10699033433631713</v>
      </c>
      <c r="B37" s="20">
        <v>0.1</v>
      </c>
      <c r="C37" s="20">
        <v>0</v>
      </c>
      <c r="D37" s="20">
        <v>0.3930265152459993</v>
      </c>
      <c r="E37" s="20">
        <v>0</v>
      </c>
      <c r="F37" s="20">
        <v>0.44122905809727381</v>
      </c>
      <c r="G37" s="20">
        <v>0</v>
      </c>
      <c r="H37" s="20">
        <v>0</v>
      </c>
      <c r="I37" s="20">
        <v>0.16574443792589974</v>
      </c>
      <c r="J37" s="20">
        <v>0</v>
      </c>
      <c r="K37" s="20">
        <v>0</v>
      </c>
    </row>
    <row r="38" spans="1:11">
      <c r="A38" s="20">
        <v>0.12940595431700108</v>
      </c>
      <c r="B38" s="20">
        <v>0.12</v>
      </c>
      <c r="C38" s="20">
        <v>0</v>
      </c>
      <c r="D38" s="20">
        <v>0.26541387002577677</v>
      </c>
      <c r="E38" s="20">
        <v>0</v>
      </c>
      <c r="F38" s="20">
        <v>0.53189352643348353</v>
      </c>
      <c r="G38" s="20">
        <v>0</v>
      </c>
      <c r="H38" s="20">
        <v>0</v>
      </c>
      <c r="I38" s="20">
        <v>0.20269261258826332</v>
      </c>
      <c r="J38" s="20">
        <v>0</v>
      </c>
      <c r="K38" s="20">
        <v>0</v>
      </c>
    </row>
    <row r="39" spans="1:11">
      <c r="A39" s="20">
        <v>0.15186119438570594</v>
      </c>
      <c r="B39" s="20">
        <v>0.14000000000000001</v>
      </c>
      <c r="C39" s="20">
        <v>0</v>
      </c>
      <c r="D39" s="20">
        <v>0.13780125963603909</v>
      </c>
      <c r="E39" s="20">
        <v>0</v>
      </c>
      <c r="F39" s="20">
        <v>0.62255811684758755</v>
      </c>
      <c r="G39" s="20">
        <v>0</v>
      </c>
      <c r="H39" s="20">
        <v>0</v>
      </c>
      <c r="I39" s="20">
        <v>0.23964063353419135</v>
      </c>
      <c r="J39" s="20">
        <v>0</v>
      </c>
      <c r="K39" s="20">
        <v>0</v>
      </c>
    </row>
    <row r="40" spans="1:11" ht="17" thickBot="1">
      <c r="A40" s="21">
        <v>0.1743407450191139</v>
      </c>
      <c r="B40" s="21">
        <v>0.16</v>
      </c>
      <c r="C40" s="21">
        <v>0</v>
      </c>
      <c r="D40" s="21">
        <v>1.0188610208864796E-2</v>
      </c>
      <c r="E40" s="21">
        <v>0</v>
      </c>
      <c r="F40" s="21">
        <v>0.71322253226287469</v>
      </c>
      <c r="G40" s="21">
        <v>0</v>
      </c>
      <c r="H40" s="21">
        <v>0</v>
      </c>
      <c r="I40" s="21">
        <v>0.27658886692339602</v>
      </c>
      <c r="J40" s="21">
        <v>0</v>
      </c>
      <c r="K40" s="21">
        <v>0</v>
      </c>
    </row>
  </sheetData>
  <mergeCells count="1">
    <mergeCell ref="C22:K22"/>
  </mergeCells>
  <phoneticPr fontId="2"/>
  <pageMargins left="0.7" right="0.7" top="0.75" bottom="0.75" header="0.3" footer="0.3"/>
  <pageSetup paperSize="9" scale="55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アセット・アロケーション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野崎 真利</dc:creator>
  <cp:lastModifiedBy>PC-A149</cp:lastModifiedBy>
  <cp:lastPrinted>2022-09-07T03:18:09Z</cp:lastPrinted>
  <dcterms:created xsi:type="dcterms:W3CDTF">2019-09-23T11:25:15Z</dcterms:created>
  <dcterms:modified xsi:type="dcterms:W3CDTF">2022-09-07T03:19:13Z</dcterms:modified>
</cp:coreProperties>
</file>